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D:\23691A3355\Day7\"/>
    </mc:Choice>
  </mc:AlternateContent>
  <xr:revisionPtr revIDLastSave="0" documentId="13_ncr:1_{2A37C18C-6BC7-445F-B956-A830FB242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" i="1" l="1"/>
  <c r="K42" i="1"/>
  <c r="K43" i="1"/>
  <c r="K44" i="1"/>
  <c r="K41" i="1"/>
</calcChain>
</file>

<file path=xl/sharedStrings.xml><?xml version="1.0" encoding="utf-8"?>
<sst xmlns="http://schemas.openxmlformats.org/spreadsheetml/2006/main" count="14" uniqueCount="14">
  <si>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</si>
  <si>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</si>
  <si>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</si>
  <si>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</si>
  <si>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</si>
  <si>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</si>
  <si>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</si>
  <si>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</si>
  <si>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</si>
  <si>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</si>
  <si>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</si>
  <si>
    <t>Sum of churn</t>
  </si>
  <si>
    <t>Sum of reamining_contract</t>
  </si>
  <si>
    <t>Sum of is_tv_subscriber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</si>
</sst>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subscription_age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Sheet1!$F$4:$F$32</c:f>
              <c:numCache>
                <c:formatCode>General</c:formatCode>
                <c:ptCount val="29"/>
                <c:pt idx="0">
                  <c:v>11.95</c:v>
                </c:pt>
                <c:pt idx="1">
                  <c:v>8.91</c:v>
                </c:pt>
                <c:pt idx="2">
                  <c:v>11.94</c:v>
                </c:pt>
                <c:pt idx="3">
                  <c:v>8.9600000000000009</c:v>
                </c:pt>
                <c:pt idx="4">
                  <c:v>8.44</c:v>
                </c:pt>
                <c:pt idx="5">
                  <c:v>11.93</c:v>
                </c:pt>
                <c:pt idx="6">
                  <c:v>6.97</c:v>
                </c:pt>
                <c:pt idx="7">
                  <c:v>11.93</c:v>
                </c:pt>
                <c:pt idx="8">
                  <c:v>11.93</c:v>
                </c:pt>
                <c:pt idx="9">
                  <c:v>11.93</c:v>
                </c:pt>
                <c:pt idx="10">
                  <c:v>10.93</c:v>
                </c:pt>
                <c:pt idx="11">
                  <c:v>11.93</c:v>
                </c:pt>
                <c:pt idx="12">
                  <c:v>11.93</c:v>
                </c:pt>
                <c:pt idx="13">
                  <c:v>11.93</c:v>
                </c:pt>
                <c:pt idx="14">
                  <c:v>11.93</c:v>
                </c:pt>
                <c:pt idx="15">
                  <c:v>6.79</c:v>
                </c:pt>
                <c:pt idx="16">
                  <c:v>11.93</c:v>
                </c:pt>
                <c:pt idx="17">
                  <c:v>11.93</c:v>
                </c:pt>
                <c:pt idx="18">
                  <c:v>11.93</c:v>
                </c:pt>
                <c:pt idx="19">
                  <c:v>11.93</c:v>
                </c:pt>
                <c:pt idx="20">
                  <c:v>8.19</c:v>
                </c:pt>
                <c:pt idx="21">
                  <c:v>11.93</c:v>
                </c:pt>
                <c:pt idx="22">
                  <c:v>11.93</c:v>
                </c:pt>
                <c:pt idx="23">
                  <c:v>8.3800000000000008</c:v>
                </c:pt>
                <c:pt idx="24">
                  <c:v>8.25</c:v>
                </c:pt>
                <c:pt idx="25">
                  <c:v>11.93</c:v>
                </c:pt>
                <c:pt idx="26">
                  <c:v>11.93</c:v>
                </c:pt>
                <c:pt idx="27">
                  <c:v>11.93</c:v>
                </c:pt>
                <c:pt idx="28">
                  <c:v>10.55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D-442C-8671-AFFDD59BF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180768"/>
        <c:axId val="2131175008"/>
      </c:barChart>
      <c:catAx>
        <c:axId val="213118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75008"/>
        <c:crosses val="autoZero"/>
        <c:auto val="1"/>
        <c:lblAlgn val="ctr"/>
        <c:lblOffset val="100"/>
        <c:noMultiLvlLbl val="0"/>
      </c:catAx>
      <c:valAx>
        <c:axId val="21311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subscription_age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Sheet1!$C$4:$C$32</c:f>
              <c:numCache>
                <c:formatCode>General</c:formatCode>
                <c:ptCount val="29"/>
                <c:pt idx="0">
                  <c:v>15</c:v>
                </c:pt>
                <c:pt idx="1">
                  <c:v>23</c:v>
                </c:pt>
                <c:pt idx="2">
                  <c:v>56</c:v>
                </c:pt>
                <c:pt idx="3">
                  <c:v>71</c:v>
                </c:pt>
                <c:pt idx="4">
                  <c:v>166</c:v>
                </c:pt>
                <c:pt idx="5">
                  <c:v>174</c:v>
                </c:pt>
                <c:pt idx="6">
                  <c:v>270</c:v>
                </c:pt>
                <c:pt idx="7">
                  <c:v>288</c:v>
                </c:pt>
                <c:pt idx="8">
                  <c:v>291</c:v>
                </c:pt>
                <c:pt idx="9">
                  <c:v>507</c:v>
                </c:pt>
                <c:pt idx="10">
                  <c:v>682</c:v>
                </c:pt>
                <c:pt idx="11">
                  <c:v>861</c:v>
                </c:pt>
                <c:pt idx="12">
                  <c:v>977</c:v>
                </c:pt>
                <c:pt idx="13">
                  <c:v>1075</c:v>
                </c:pt>
                <c:pt idx="14">
                  <c:v>1266</c:v>
                </c:pt>
                <c:pt idx="15">
                  <c:v>1296</c:v>
                </c:pt>
                <c:pt idx="16">
                  <c:v>1492</c:v>
                </c:pt>
                <c:pt idx="17">
                  <c:v>1517</c:v>
                </c:pt>
                <c:pt idx="18">
                  <c:v>1522</c:v>
                </c:pt>
                <c:pt idx="19">
                  <c:v>1662</c:v>
                </c:pt>
                <c:pt idx="20">
                  <c:v>1744</c:v>
                </c:pt>
                <c:pt idx="21">
                  <c:v>1783</c:v>
                </c:pt>
                <c:pt idx="22">
                  <c:v>1810</c:v>
                </c:pt>
                <c:pt idx="23">
                  <c:v>1893</c:v>
                </c:pt>
                <c:pt idx="24">
                  <c:v>1901</c:v>
                </c:pt>
                <c:pt idx="25">
                  <c:v>1917</c:v>
                </c:pt>
                <c:pt idx="26">
                  <c:v>1950</c:v>
                </c:pt>
                <c:pt idx="27">
                  <c:v>1975</c:v>
                </c:pt>
                <c:pt idx="28">
                  <c:v>2334</c:v>
                </c:pt>
              </c:numCache>
            </c:numRef>
          </c:xVal>
          <c:yVal>
            <c:numRef>
              <c:f>Sheet1!$F$4:$F$32</c:f>
              <c:numCache>
                <c:formatCode>General</c:formatCode>
                <c:ptCount val="29"/>
                <c:pt idx="0">
                  <c:v>11.95</c:v>
                </c:pt>
                <c:pt idx="1">
                  <c:v>8.91</c:v>
                </c:pt>
                <c:pt idx="2">
                  <c:v>11.94</c:v>
                </c:pt>
                <c:pt idx="3">
                  <c:v>8.9600000000000009</c:v>
                </c:pt>
                <c:pt idx="4">
                  <c:v>8.44</c:v>
                </c:pt>
                <c:pt idx="5">
                  <c:v>11.93</c:v>
                </c:pt>
                <c:pt idx="6">
                  <c:v>6.97</c:v>
                </c:pt>
                <c:pt idx="7">
                  <c:v>11.93</c:v>
                </c:pt>
                <c:pt idx="8">
                  <c:v>11.93</c:v>
                </c:pt>
                <c:pt idx="9">
                  <c:v>11.93</c:v>
                </c:pt>
                <c:pt idx="10">
                  <c:v>10.93</c:v>
                </c:pt>
                <c:pt idx="11">
                  <c:v>11.93</c:v>
                </c:pt>
                <c:pt idx="12">
                  <c:v>11.93</c:v>
                </c:pt>
                <c:pt idx="13">
                  <c:v>11.93</c:v>
                </c:pt>
                <c:pt idx="14">
                  <c:v>11.93</c:v>
                </c:pt>
                <c:pt idx="15">
                  <c:v>6.79</c:v>
                </c:pt>
                <c:pt idx="16">
                  <c:v>11.93</c:v>
                </c:pt>
                <c:pt idx="17">
                  <c:v>11.93</c:v>
                </c:pt>
                <c:pt idx="18">
                  <c:v>11.93</c:v>
                </c:pt>
                <c:pt idx="19">
                  <c:v>11.93</c:v>
                </c:pt>
                <c:pt idx="20">
                  <c:v>8.19</c:v>
                </c:pt>
                <c:pt idx="21">
                  <c:v>11.93</c:v>
                </c:pt>
                <c:pt idx="22">
                  <c:v>11.93</c:v>
                </c:pt>
                <c:pt idx="23">
                  <c:v>8.3800000000000008</c:v>
                </c:pt>
                <c:pt idx="24">
                  <c:v>8.25</c:v>
                </c:pt>
                <c:pt idx="25">
                  <c:v>11.93</c:v>
                </c:pt>
                <c:pt idx="26">
                  <c:v>11.93</c:v>
                </c:pt>
                <c:pt idx="27">
                  <c:v>11.93</c:v>
                </c:pt>
                <c:pt idx="28">
                  <c:v>10.55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B-46BF-9DF2-3B9D7934E940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upload_avg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Sheet1!$C$4:$C$32</c:f>
              <c:numCache>
                <c:formatCode>General</c:formatCode>
                <c:ptCount val="29"/>
                <c:pt idx="0">
                  <c:v>15</c:v>
                </c:pt>
                <c:pt idx="1">
                  <c:v>23</c:v>
                </c:pt>
                <c:pt idx="2">
                  <c:v>56</c:v>
                </c:pt>
                <c:pt idx="3">
                  <c:v>71</c:v>
                </c:pt>
                <c:pt idx="4">
                  <c:v>166</c:v>
                </c:pt>
                <c:pt idx="5">
                  <c:v>174</c:v>
                </c:pt>
                <c:pt idx="6">
                  <c:v>270</c:v>
                </c:pt>
                <c:pt idx="7">
                  <c:v>288</c:v>
                </c:pt>
                <c:pt idx="8">
                  <c:v>291</c:v>
                </c:pt>
                <c:pt idx="9">
                  <c:v>507</c:v>
                </c:pt>
                <c:pt idx="10">
                  <c:v>682</c:v>
                </c:pt>
                <c:pt idx="11">
                  <c:v>861</c:v>
                </c:pt>
                <c:pt idx="12">
                  <c:v>977</c:v>
                </c:pt>
                <c:pt idx="13">
                  <c:v>1075</c:v>
                </c:pt>
                <c:pt idx="14">
                  <c:v>1266</c:v>
                </c:pt>
                <c:pt idx="15">
                  <c:v>1296</c:v>
                </c:pt>
                <c:pt idx="16">
                  <c:v>1492</c:v>
                </c:pt>
                <c:pt idx="17">
                  <c:v>1517</c:v>
                </c:pt>
                <c:pt idx="18">
                  <c:v>1522</c:v>
                </c:pt>
                <c:pt idx="19">
                  <c:v>1662</c:v>
                </c:pt>
                <c:pt idx="20">
                  <c:v>1744</c:v>
                </c:pt>
                <c:pt idx="21">
                  <c:v>1783</c:v>
                </c:pt>
                <c:pt idx="22">
                  <c:v>1810</c:v>
                </c:pt>
                <c:pt idx="23">
                  <c:v>1893</c:v>
                </c:pt>
                <c:pt idx="24">
                  <c:v>1901</c:v>
                </c:pt>
                <c:pt idx="25">
                  <c:v>1917</c:v>
                </c:pt>
                <c:pt idx="26">
                  <c:v>1950</c:v>
                </c:pt>
                <c:pt idx="27">
                  <c:v>1975</c:v>
                </c:pt>
                <c:pt idx="28">
                  <c:v>2334</c:v>
                </c:pt>
              </c:numCache>
            </c:numRef>
          </c:xVal>
          <c:yVal>
            <c:numRef>
              <c:f>Sheet1!$K$4:$K$32</c:f>
              <c:numCache>
                <c:formatCode>General</c:formatCode>
                <c:ptCount val="29"/>
                <c:pt idx="0">
                  <c:v>2.2999999999999998</c:v>
                </c:pt>
                <c:pt idx="1">
                  <c:v>0.9</c:v>
                </c:pt>
                <c:pt idx="2">
                  <c:v>4</c:v>
                </c:pt>
                <c:pt idx="3">
                  <c:v>2</c:v>
                </c:pt>
                <c:pt idx="4">
                  <c:v>1.1000000000000001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2.4</c:v>
                </c:pt>
                <c:pt idx="9">
                  <c:v>12.1</c:v>
                </c:pt>
                <c:pt idx="10">
                  <c:v>7.9</c:v>
                </c:pt>
                <c:pt idx="11">
                  <c:v>9.6999999999999993</c:v>
                </c:pt>
                <c:pt idx="12">
                  <c:v>1.9</c:v>
                </c:pt>
                <c:pt idx="13">
                  <c:v>5.9</c:v>
                </c:pt>
                <c:pt idx="14">
                  <c:v>2.1</c:v>
                </c:pt>
                <c:pt idx="15">
                  <c:v>0</c:v>
                </c:pt>
                <c:pt idx="16">
                  <c:v>5.2</c:v>
                </c:pt>
                <c:pt idx="17">
                  <c:v>2.2000000000000002</c:v>
                </c:pt>
                <c:pt idx="18">
                  <c:v>0.3</c:v>
                </c:pt>
                <c:pt idx="19">
                  <c:v>2.9</c:v>
                </c:pt>
                <c:pt idx="20">
                  <c:v>2</c:v>
                </c:pt>
                <c:pt idx="21">
                  <c:v>21.3</c:v>
                </c:pt>
                <c:pt idx="22">
                  <c:v>8.9</c:v>
                </c:pt>
                <c:pt idx="23">
                  <c:v>0.9</c:v>
                </c:pt>
                <c:pt idx="24">
                  <c:v>7</c:v>
                </c:pt>
                <c:pt idx="25">
                  <c:v>2.6</c:v>
                </c:pt>
                <c:pt idx="26">
                  <c:v>0.2</c:v>
                </c:pt>
                <c:pt idx="27">
                  <c:v>15.6</c:v>
                </c:pt>
                <c:pt idx="28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B-46BF-9DF2-3B9D7934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215424"/>
        <c:axId val="2014218784"/>
      </c:scatterChart>
      <c:valAx>
        <c:axId val="201421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18784"/>
        <c:crosses val="autoZero"/>
        <c:crossBetween val="midCat"/>
      </c:valAx>
      <c:valAx>
        <c:axId val="20142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1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[Charts.xlsx]Sheet1!PivotTable10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Sheet1!$P$19</c:f>
              <c:strCache>
                <c:ptCount val="1"/>
                <c:pt idx="0">
                  <c:v>Sum of reamining_contract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Sheet1!$P$20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Sheet1!$P$20</c:f>
              <c:numCache>
                <c:formatCode>General</c:formatCode>
                <c:ptCount val="1"/>
                <c:pt idx="0">
                  <c:v>21.72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0-42ED-8C1A-552910201F10}"/>
            </c:ext>
          </c:extLst>
        </c:ser>
        <c:ser>
          <c:idx val="1"/>
          <c:order val="1"/>
          <c:tx>
            <c:strRef>
              <c:f>Sheet1!$Q$19</c:f>
              <c:strCache>
                <c:ptCount val="1"/>
                <c:pt idx="0">
                  <c:v>Sum of is_tv_subscriber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Sheet1!$P$20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Sheet1!$Q$20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0-42ED-8C1A-552910201F10}"/>
            </c:ext>
          </c:extLst>
        </c:ser>
        <c:ser>
          <c:idx val="2"/>
          <c:order val="2"/>
          <c:tx>
            <c:strRef>
              <c:f>Sheet1!$R$19</c:f>
              <c:strCache>
                <c:ptCount val="1"/>
                <c:pt idx="0">
                  <c:v>Sum of churn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Sheet1!$P$20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Sheet1!$R$20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0-42ED-8C1A-552910201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6973216"/>
        <c:axId val="2026972256"/>
      </c:barChart>
      <c:catAx>
        <c:axId val="202697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72256"/>
        <c:crosses val="autoZero"/>
        <c:auto val="1"/>
        <c:lblAlgn val="ctr"/>
        <c:lblOffset val="100"/>
        <c:noMultiLvlLbl val="0"/>
      </c:catAx>
      <c:valAx>
        <c:axId val="20269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Sheet1!$D$3</c:f>
              <c:strCache>
                <c:ptCount val="1"/>
                <c:pt idx="0">
                  <c:v>is_tv_subscriber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A1-4E5E-8AB3-DC81DEB6BF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A1-4E5E-8AB3-DC81DEB6BF7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A1-4E5E-8AB3-DC81DEB6BF7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A1-4E5E-8AB3-DC81DEB6BF7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AA1-4E5E-8AB3-DC81DEB6BF7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AA1-4E5E-8AB3-DC81DEB6BF7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AA1-4E5E-8AB3-DC81DEB6BF7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AA1-4E5E-8AB3-DC81DEB6BF7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AA1-4E5E-8AB3-DC81DEB6BF7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AA1-4E5E-8AB3-DC81DEB6BF7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AA1-4E5E-8AB3-DC81DEB6BF7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AA1-4E5E-8AB3-DC81DEB6BF7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AA1-4E5E-8AB3-DC81DEB6BF7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AA1-4E5E-8AB3-DC81DEB6BF7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AA1-4E5E-8AB3-DC81DEB6BF7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AA1-4E5E-8AB3-DC81DEB6BF7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AA1-4E5E-8AB3-DC81DEB6BF7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AA1-4E5E-8AB3-DC81DEB6BF7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AA1-4E5E-8AB3-DC81DEB6BF7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AA1-4E5E-8AB3-DC81DEB6BF7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AA1-4E5E-8AB3-DC81DEB6BF7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AA1-4E5E-8AB3-DC81DEB6BF7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AA1-4E5E-8AB3-DC81DEB6BF7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AA1-4E5E-8AB3-DC81DEB6BF7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AA1-4E5E-8AB3-DC81DEB6BF7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AA1-4E5E-8AB3-DC81DEB6BF7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AA1-4E5E-8AB3-DC81DEB6BF76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AA1-4E5E-8AB3-DC81DEB6BF76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AA1-4E5E-8AB3-DC81DEB6BF76}"/>
              </c:ext>
            </c:extLst>
          </c:dPt>
          <c:val>
            <c:numRef>
              <c:f>Sheet1!$D$4:$D$32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3-4D74-989F-B746A708C4A7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is_movie_package_subscriber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AA1-4E5E-8AB3-DC81DEB6BF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AA1-4E5E-8AB3-DC81DEB6BF7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CAA1-4E5E-8AB3-DC81DEB6BF7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CAA1-4E5E-8AB3-DC81DEB6BF7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CAA1-4E5E-8AB3-DC81DEB6BF7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CAA1-4E5E-8AB3-DC81DEB6BF7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CAA1-4E5E-8AB3-DC81DEB6BF7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CAA1-4E5E-8AB3-DC81DEB6BF7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CAA1-4E5E-8AB3-DC81DEB6BF7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CAA1-4E5E-8AB3-DC81DEB6BF7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CAA1-4E5E-8AB3-DC81DEB6BF7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CAA1-4E5E-8AB3-DC81DEB6BF7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CAA1-4E5E-8AB3-DC81DEB6BF7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CAA1-4E5E-8AB3-DC81DEB6BF7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CAA1-4E5E-8AB3-DC81DEB6BF7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CAA1-4E5E-8AB3-DC81DEB6BF7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CAA1-4E5E-8AB3-DC81DEB6BF7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CAA1-4E5E-8AB3-DC81DEB6BF7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CAA1-4E5E-8AB3-DC81DEB6BF7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CAA1-4E5E-8AB3-DC81DEB6BF7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CAA1-4E5E-8AB3-DC81DEB6BF7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CAA1-4E5E-8AB3-DC81DEB6BF7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CAA1-4E5E-8AB3-DC81DEB6BF7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CAA1-4E5E-8AB3-DC81DEB6BF7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CAA1-4E5E-8AB3-DC81DEB6BF7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CAA1-4E5E-8AB3-DC81DEB6BF7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CAA1-4E5E-8AB3-DC81DEB6BF76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CAA1-4E5E-8AB3-DC81DEB6BF76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CAA1-4E5E-8AB3-DC81DEB6BF76}"/>
              </c:ext>
            </c:extLst>
          </c:dPt>
          <c:val>
            <c:numRef>
              <c:f>Sheet1!$E$4:$E$32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3-4D74-989F-B746A708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2</xdr:row>
      <xdr:rowOff>171449</xdr:rowOff>
    </xdr:from>
    <xdr:to>
      <xdr:col>18</xdr:col>
      <xdr:colOff>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D78E1-DE4C-79BD-9320-A061F06AC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171450</xdr:colOff>
      <xdr:row>2</xdr:row>
      <xdr:rowOff>185737</xdr:rowOff>
    </xdr:from>
    <xdr:to>
      <xdr:col>22</xdr:col>
      <xdr:colOff>314325</xdr:colOff>
      <xdr:row>16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C8706-6366-EECD-30C2-5C3DB2922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</xdr:colOff>
      <xdr:row>20</xdr:row>
      <xdr:rowOff>0</xdr:rowOff>
    </xdr:from>
    <xdr:to>
      <xdr:col>18</xdr:col>
      <xdr:colOff>0</xdr:colOff>
      <xdr:row>31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445533-6E39-E92D-517E-97F2B87E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190500</xdr:colOff>
      <xdr:row>18</xdr:row>
      <xdr:rowOff>119062</xdr:rowOff>
    </xdr:from>
    <xdr:to>
      <xdr:col>23</xdr:col>
      <xdr:colOff>66675</xdr:colOff>
      <xdr:row>31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757FFD-9490-6ADC-4448-1C2DFCB23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9033449072" createdVersion="8" refreshedVersion="8" minRefreshableVersion="3" recordCount="29" xr:uid="{124B3184-6CD4-4907-842E-A0EB7FE6752F}">
  <cacheSource type="worksheet">
    <worksheetSource ref="C3:M32" sheet="Sheet1"/>
  </cacheSource>
  <cacheFields count="11">
    <cacheField name="id" numFmtId="0">
      <sharedItems containsSemiMixedTypes="0" containsString="0" containsNumber="1" containsInteger="1" minValue="15" maxValue="2334"/>
    </cacheField>
    <cacheField name="is_tv_subscriber" numFmtId="0">
      <sharedItems containsSemiMixedTypes="0" containsString="0" containsNumber="1" containsInteger="1" minValue="0" maxValue="1" count="2">
        <n v="1"/>
        <n v="0"/>
      </sharedItems>
    </cacheField>
    <cacheField name="is_movie_package_subscriber" numFmtId="0">
      <sharedItems containsSemiMixedTypes="0" containsString="0" containsNumber="1" containsInteger="1" minValue="0" maxValue="1" count="2">
        <n v="0"/>
        <n v="1"/>
      </sharedItems>
    </cacheField>
    <cacheField name="subscription_age" numFmtId="0">
      <sharedItems containsSemiMixedTypes="0" containsString="0" containsNumber="1" minValue="6.79" maxValue="11.95"/>
    </cacheField>
    <cacheField name="bill_avg" numFmtId="0">
      <sharedItems containsSemiMixedTypes="0" containsString="0" containsNumber="1" containsInteger="1" minValue="10" maxValue="69"/>
    </cacheField>
    <cacheField name="reamining_contract" numFmtId="0">
      <sharedItems containsSemiMixedTypes="0" containsString="0" containsNumber="1" minValue="0" maxValue="1.85"/>
    </cacheField>
    <cacheField name="service_failure_count" numFmtId="0">
      <sharedItems containsSemiMixedTypes="0" containsString="0" containsNumber="1" containsInteger="1" minValue="0" maxValue="4" count="3">
        <n v="0"/>
        <n v="1"/>
        <n v="4"/>
      </sharedItems>
    </cacheField>
    <cacheField name="download_avg" numFmtId="0">
      <sharedItems containsSemiMixedTypes="0" containsString="0" containsNumber="1" minValue="0" maxValue="584.6"/>
    </cacheField>
    <cacheField name="upload_avg" numFmtId="0">
      <sharedItems containsSemiMixedTypes="0" containsString="0" containsNumber="1" minValue="0" maxValue="21.3"/>
    </cacheField>
    <cacheField name="download_over_limit" numFmtId="0">
      <sharedItems containsSemiMixedTypes="0" containsString="0" containsNumber="1" containsInteger="1" minValue="0" maxValue="0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5"/>
    <x v="0"/>
    <x v="0"/>
    <n v="11.95"/>
    <n v="25"/>
    <n v="0.14000000000000001"/>
    <x v="0"/>
    <n v="8.4"/>
    <n v="2.2999999999999998"/>
    <n v="0"/>
    <x v="0"/>
  </r>
  <r>
    <n v="23"/>
    <x v="0"/>
    <x v="0"/>
    <n v="8.91"/>
    <n v="16"/>
    <n v="0"/>
    <x v="0"/>
    <n v="13.7"/>
    <n v="0.9"/>
    <n v="0"/>
    <x v="1"/>
  </r>
  <r>
    <n v="56"/>
    <x v="0"/>
    <x v="1"/>
    <n v="11.94"/>
    <n v="32"/>
    <n v="1.38"/>
    <x v="0"/>
    <n v="69.400000000000006"/>
    <n v="4"/>
    <n v="0"/>
    <x v="0"/>
  </r>
  <r>
    <n v="71"/>
    <x v="1"/>
    <x v="0"/>
    <n v="8.9600000000000009"/>
    <n v="18"/>
    <n v="0"/>
    <x v="0"/>
    <n v="21.3"/>
    <n v="2"/>
    <n v="0"/>
    <x v="1"/>
  </r>
  <r>
    <n v="166"/>
    <x v="0"/>
    <x v="1"/>
    <n v="8.44"/>
    <n v="17"/>
    <n v="0"/>
    <x v="0"/>
    <n v="9.9"/>
    <n v="1.1000000000000001"/>
    <n v="0"/>
    <x v="1"/>
  </r>
  <r>
    <n v="174"/>
    <x v="0"/>
    <x v="1"/>
    <n v="11.93"/>
    <n v="10"/>
    <n v="1.28"/>
    <x v="0"/>
    <n v="10.6"/>
    <n v="0.6"/>
    <n v="0"/>
    <x v="0"/>
  </r>
  <r>
    <n v="270"/>
    <x v="1"/>
    <x v="0"/>
    <n v="6.97"/>
    <n v="23"/>
    <n v="0.28000000000000003"/>
    <x v="0"/>
    <n v="0"/>
    <n v="0"/>
    <n v="0"/>
    <x v="1"/>
  </r>
  <r>
    <n v="288"/>
    <x v="0"/>
    <x v="1"/>
    <n v="11.93"/>
    <n v="18"/>
    <n v="1.8"/>
    <x v="0"/>
    <n v="1"/>
    <n v="0"/>
    <n v="0"/>
    <x v="0"/>
  </r>
  <r>
    <n v="291"/>
    <x v="0"/>
    <x v="0"/>
    <n v="11.93"/>
    <n v="22"/>
    <n v="0.01"/>
    <x v="1"/>
    <n v="10.6"/>
    <n v="2.4"/>
    <n v="0"/>
    <x v="0"/>
  </r>
  <r>
    <n v="507"/>
    <x v="0"/>
    <x v="1"/>
    <n v="11.93"/>
    <n v="65"/>
    <n v="0.21"/>
    <x v="0"/>
    <n v="116.8"/>
    <n v="12.1"/>
    <n v="0"/>
    <x v="0"/>
  </r>
  <r>
    <n v="682"/>
    <x v="0"/>
    <x v="0"/>
    <n v="10.93"/>
    <n v="63"/>
    <n v="0"/>
    <x v="0"/>
    <n v="38.1"/>
    <n v="7.9"/>
    <n v="0"/>
    <x v="1"/>
  </r>
  <r>
    <n v="861"/>
    <x v="0"/>
    <x v="0"/>
    <n v="11.93"/>
    <n v="45"/>
    <n v="1.83"/>
    <x v="0"/>
    <n v="70.3"/>
    <n v="9.6999999999999993"/>
    <n v="0"/>
    <x v="0"/>
  </r>
  <r>
    <n v="977"/>
    <x v="0"/>
    <x v="1"/>
    <n v="11.93"/>
    <n v="16"/>
    <n v="1.82"/>
    <x v="0"/>
    <n v="19.399999999999999"/>
    <n v="1.9"/>
    <n v="0"/>
    <x v="0"/>
  </r>
  <r>
    <n v="1075"/>
    <x v="0"/>
    <x v="1"/>
    <n v="11.93"/>
    <n v="23"/>
    <n v="1.85"/>
    <x v="0"/>
    <n v="17.5"/>
    <n v="5.9"/>
    <n v="0"/>
    <x v="0"/>
  </r>
  <r>
    <n v="1266"/>
    <x v="0"/>
    <x v="1"/>
    <n v="11.93"/>
    <n v="16"/>
    <n v="1.56"/>
    <x v="0"/>
    <n v="28.3"/>
    <n v="2.1"/>
    <n v="0"/>
    <x v="0"/>
  </r>
  <r>
    <n v="1296"/>
    <x v="0"/>
    <x v="0"/>
    <n v="6.79"/>
    <n v="17"/>
    <n v="0.45"/>
    <x v="0"/>
    <n v="0"/>
    <n v="0"/>
    <n v="0"/>
    <x v="1"/>
  </r>
  <r>
    <n v="1492"/>
    <x v="0"/>
    <x v="1"/>
    <n v="11.93"/>
    <n v="20"/>
    <n v="1.8"/>
    <x v="1"/>
    <n v="62.6"/>
    <n v="5.2"/>
    <n v="0"/>
    <x v="0"/>
  </r>
  <r>
    <n v="1517"/>
    <x v="0"/>
    <x v="0"/>
    <n v="11.93"/>
    <n v="37"/>
    <n v="0.44"/>
    <x v="0"/>
    <n v="26.5"/>
    <n v="2.2000000000000002"/>
    <n v="0"/>
    <x v="0"/>
  </r>
  <r>
    <n v="1522"/>
    <x v="0"/>
    <x v="1"/>
    <n v="11.93"/>
    <n v="10"/>
    <n v="1.21"/>
    <x v="0"/>
    <n v="10.1"/>
    <n v="0.3"/>
    <n v="0"/>
    <x v="0"/>
  </r>
  <r>
    <n v="1662"/>
    <x v="0"/>
    <x v="1"/>
    <n v="11.93"/>
    <n v="21"/>
    <n v="0.21"/>
    <x v="0"/>
    <n v="48.2"/>
    <n v="2.9"/>
    <n v="0"/>
    <x v="0"/>
  </r>
  <r>
    <n v="1744"/>
    <x v="0"/>
    <x v="1"/>
    <n v="8.19"/>
    <n v="14"/>
    <n v="0"/>
    <x v="2"/>
    <n v="11.5"/>
    <n v="2"/>
    <n v="0"/>
    <x v="1"/>
  </r>
  <r>
    <n v="1783"/>
    <x v="1"/>
    <x v="0"/>
    <n v="11.93"/>
    <n v="69"/>
    <n v="0.52"/>
    <x v="1"/>
    <n v="584.6"/>
    <n v="21.3"/>
    <n v="0"/>
    <x v="0"/>
  </r>
  <r>
    <n v="1810"/>
    <x v="0"/>
    <x v="1"/>
    <n v="11.93"/>
    <n v="40"/>
    <n v="1.1000000000000001"/>
    <x v="0"/>
    <n v="446.2"/>
    <n v="8.9"/>
    <n v="0"/>
    <x v="0"/>
  </r>
  <r>
    <n v="1893"/>
    <x v="0"/>
    <x v="1"/>
    <n v="8.3800000000000008"/>
    <n v="46"/>
    <n v="0"/>
    <x v="0"/>
    <n v="10.8"/>
    <n v="0.9"/>
    <n v="0"/>
    <x v="1"/>
  </r>
  <r>
    <n v="1901"/>
    <x v="1"/>
    <x v="0"/>
    <n v="8.25"/>
    <n v="50"/>
    <n v="0"/>
    <x v="1"/>
    <n v="95.1"/>
    <n v="7"/>
    <n v="0"/>
    <x v="1"/>
  </r>
  <r>
    <n v="1917"/>
    <x v="0"/>
    <x v="1"/>
    <n v="11.93"/>
    <n v="10"/>
    <n v="1.2"/>
    <x v="0"/>
    <n v="26.7"/>
    <n v="2.6"/>
    <n v="0"/>
    <x v="0"/>
  </r>
  <r>
    <n v="1950"/>
    <x v="0"/>
    <x v="1"/>
    <n v="11.93"/>
    <n v="15"/>
    <n v="1.66"/>
    <x v="0"/>
    <n v="2.8"/>
    <n v="0.2"/>
    <n v="0"/>
    <x v="0"/>
  </r>
  <r>
    <n v="1975"/>
    <x v="0"/>
    <x v="0"/>
    <n v="11.93"/>
    <n v="30"/>
    <n v="0.97"/>
    <x v="0"/>
    <n v="168.6"/>
    <n v="15.6"/>
    <n v="0"/>
    <x v="0"/>
  </r>
  <r>
    <n v="2334"/>
    <x v="0"/>
    <x v="0"/>
    <n v="10.55"/>
    <n v="22"/>
    <n v="0"/>
    <x v="0"/>
    <n v="5"/>
    <n v="0.4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65578-6C5A-420F-A174-EECDF60892E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19:R20" firstHeaderRow="0" firstDataRow="1" firstDataCol="0"/>
  <pivotFields count="11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amining_contract" fld="5" baseField="0" baseItem="0"/>
    <dataField name="Sum of is_tv_subscriber" fld="1" baseField="0" baseItem="0"/>
    <dataField name="Sum of churn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R45"/>
  <sheetViews>
    <sheetView tabSelected="1" topLeftCell="B19" workbookViewId="0">
      <selection activeCell="K42" sqref="K42"/>
    </sheetView>
  </sheetViews>
  <sheetFormatPr defaultRowHeight="15" x14ac:dyDescent="0.25"/>
  <cols>
    <col min="16" max="16" width="25.140625" bestFit="1" customWidth="1"/>
    <col min="17" max="17" width="22.28515625" bestFit="1" customWidth="1"/>
    <col min="18" max="18" width="12.5703125" bestFit="1" customWidth="1"/>
    <col min="19" max="19" width="23" bestFit="1" customWidth="1"/>
    <col min="20" max="21" width="16.28515625" bestFit="1" customWidth="1"/>
    <col min="22" max="22" width="6.85546875" bestFit="1" customWidth="1"/>
    <col min="23" max="24" width="3.85546875" bestFit="1" customWidth="1"/>
    <col min="25" max="25" width="6.85546875" bestFit="1" customWidth="1"/>
    <col min="26" max="26" width="11.28515625" bestFit="1" customWidth="1"/>
    <col min="27" max="31" width="6" bestFit="1" customWidth="1"/>
    <col min="32" max="32" width="11.28515625" bestFit="1" customWidth="1"/>
  </cols>
  <sheetData>
    <row r="3" spans="3:13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  <row r="4" spans="3:13" x14ac:dyDescent="0.25">
      <c r="C4">
        <v>15</v>
      </c>
      <c r="D4">
        <v>1</v>
      </c>
      <c r="E4">
        <v>0</v>
      </c>
      <c r="F4">
        <v>11.95</v>
      </c>
      <c r="G4">
        <v>25</v>
      </c>
      <c r="H4">
        <v>0.14000000000000001</v>
      </c>
      <c r="I4">
        <v>0</v>
      </c>
      <c r="J4">
        <v>8.4</v>
      </c>
      <c r="K4">
        <v>2.2999999999999998</v>
      </c>
      <c r="L4">
        <v>0</v>
      </c>
      <c r="M4">
        <v>0</v>
      </c>
    </row>
    <row r="5" spans="3:13" x14ac:dyDescent="0.25">
      <c r="C5">
        <v>23</v>
      </c>
      <c r="D5">
        <v>1</v>
      </c>
      <c r="E5">
        <v>0</v>
      </c>
      <c r="F5">
        <v>8.91</v>
      </c>
      <c r="G5">
        <v>16</v>
      </c>
      <c r="H5">
        <v>0</v>
      </c>
      <c r="I5">
        <v>0</v>
      </c>
      <c r="J5">
        <v>13.7</v>
      </c>
      <c r="K5">
        <v>0.9</v>
      </c>
      <c r="L5">
        <v>0</v>
      </c>
      <c r="M5">
        <v>1</v>
      </c>
    </row>
    <row r="6" spans="3:13" x14ac:dyDescent="0.25">
      <c r="C6">
        <v>56</v>
      </c>
      <c r="D6">
        <v>1</v>
      </c>
      <c r="E6">
        <v>1</v>
      </c>
      <c r="F6">
        <v>11.94</v>
      </c>
      <c r="G6">
        <v>32</v>
      </c>
      <c r="H6">
        <v>1.38</v>
      </c>
      <c r="I6">
        <v>0</v>
      </c>
      <c r="J6">
        <v>69.400000000000006</v>
      </c>
      <c r="K6">
        <v>4</v>
      </c>
      <c r="L6">
        <v>0</v>
      </c>
      <c r="M6">
        <v>0</v>
      </c>
    </row>
    <row r="7" spans="3:13" x14ac:dyDescent="0.25">
      <c r="C7">
        <v>71</v>
      </c>
      <c r="D7">
        <v>0</v>
      </c>
      <c r="E7">
        <v>0</v>
      </c>
      <c r="F7">
        <v>8.9600000000000009</v>
      </c>
      <c r="G7">
        <v>18</v>
      </c>
      <c r="H7">
        <v>0</v>
      </c>
      <c r="I7">
        <v>0</v>
      </c>
      <c r="J7">
        <v>21.3</v>
      </c>
      <c r="K7">
        <v>2</v>
      </c>
      <c r="L7">
        <v>0</v>
      </c>
      <c r="M7">
        <v>1</v>
      </c>
    </row>
    <row r="8" spans="3:13" x14ac:dyDescent="0.25">
      <c r="C8">
        <v>166</v>
      </c>
      <c r="D8">
        <v>1</v>
      </c>
      <c r="E8">
        <v>1</v>
      </c>
      <c r="F8">
        <v>8.44</v>
      </c>
      <c r="G8">
        <v>17</v>
      </c>
      <c r="H8">
        <v>0</v>
      </c>
      <c r="I8">
        <v>0</v>
      </c>
      <c r="J8">
        <v>9.9</v>
      </c>
      <c r="K8">
        <v>1.1000000000000001</v>
      </c>
      <c r="L8">
        <v>0</v>
      </c>
      <c r="M8">
        <v>1</v>
      </c>
    </row>
    <row r="9" spans="3:13" x14ac:dyDescent="0.25">
      <c r="C9">
        <v>174</v>
      </c>
      <c r="D9">
        <v>1</v>
      </c>
      <c r="E9">
        <v>1</v>
      </c>
      <c r="F9">
        <v>11.93</v>
      </c>
      <c r="G9">
        <v>10</v>
      </c>
      <c r="H9">
        <v>1.28</v>
      </c>
      <c r="I9">
        <v>0</v>
      </c>
      <c r="J9">
        <v>10.6</v>
      </c>
      <c r="K9">
        <v>0.6</v>
      </c>
      <c r="L9">
        <v>0</v>
      </c>
      <c r="M9">
        <v>0</v>
      </c>
    </row>
    <row r="10" spans="3:13" x14ac:dyDescent="0.25">
      <c r="C10">
        <v>270</v>
      </c>
      <c r="D10">
        <v>0</v>
      </c>
      <c r="E10">
        <v>0</v>
      </c>
      <c r="F10">
        <v>6.97</v>
      </c>
      <c r="G10">
        <v>23</v>
      </c>
      <c r="H10">
        <v>0.28000000000000003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3:13" x14ac:dyDescent="0.25">
      <c r="C11">
        <v>288</v>
      </c>
      <c r="D11">
        <v>1</v>
      </c>
      <c r="E11">
        <v>1</v>
      </c>
      <c r="F11">
        <v>11.93</v>
      </c>
      <c r="G11">
        <v>18</v>
      </c>
      <c r="H11">
        <v>1.8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3:13" x14ac:dyDescent="0.25">
      <c r="C12">
        <v>291</v>
      </c>
      <c r="D12">
        <v>1</v>
      </c>
      <c r="E12">
        <v>0</v>
      </c>
      <c r="F12">
        <v>11.93</v>
      </c>
      <c r="G12">
        <v>22</v>
      </c>
      <c r="H12">
        <v>0.01</v>
      </c>
      <c r="I12">
        <v>1</v>
      </c>
      <c r="J12">
        <v>10.6</v>
      </c>
      <c r="K12">
        <v>2.4</v>
      </c>
      <c r="L12">
        <v>0</v>
      </c>
      <c r="M12">
        <v>0</v>
      </c>
    </row>
    <row r="13" spans="3:13" x14ac:dyDescent="0.25">
      <c r="C13">
        <v>507</v>
      </c>
      <c r="D13">
        <v>1</v>
      </c>
      <c r="E13">
        <v>1</v>
      </c>
      <c r="F13">
        <v>11.93</v>
      </c>
      <c r="G13">
        <v>65</v>
      </c>
      <c r="H13">
        <v>0.21</v>
      </c>
      <c r="I13">
        <v>0</v>
      </c>
      <c r="J13">
        <v>116.8</v>
      </c>
      <c r="K13">
        <v>12.1</v>
      </c>
      <c r="L13">
        <v>0</v>
      </c>
      <c r="M13">
        <v>0</v>
      </c>
    </row>
    <row r="14" spans="3:13" x14ac:dyDescent="0.25">
      <c r="C14">
        <v>682</v>
      </c>
      <c r="D14">
        <v>1</v>
      </c>
      <c r="E14">
        <v>0</v>
      </c>
      <c r="F14">
        <v>10.93</v>
      </c>
      <c r="G14">
        <v>63</v>
      </c>
      <c r="H14">
        <v>0</v>
      </c>
      <c r="I14">
        <v>0</v>
      </c>
      <c r="J14">
        <v>38.1</v>
      </c>
      <c r="K14">
        <v>7.9</v>
      </c>
      <c r="L14">
        <v>0</v>
      </c>
      <c r="M14">
        <v>1</v>
      </c>
    </row>
    <row r="15" spans="3:13" x14ac:dyDescent="0.25">
      <c r="C15">
        <v>861</v>
      </c>
      <c r="D15">
        <v>1</v>
      </c>
      <c r="E15">
        <v>0</v>
      </c>
      <c r="F15">
        <v>11.93</v>
      </c>
      <c r="G15">
        <v>45</v>
      </c>
      <c r="H15">
        <v>1.83</v>
      </c>
      <c r="I15">
        <v>0</v>
      </c>
      <c r="J15">
        <v>70.3</v>
      </c>
      <c r="K15">
        <v>9.6999999999999993</v>
      </c>
      <c r="L15">
        <v>0</v>
      </c>
      <c r="M15">
        <v>0</v>
      </c>
    </row>
    <row r="16" spans="3:13" x14ac:dyDescent="0.25">
      <c r="C16">
        <v>977</v>
      </c>
      <c r="D16">
        <v>1</v>
      </c>
      <c r="E16">
        <v>1</v>
      </c>
      <c r="F16">
        <v>11.93</v>
      </c>
      <c r="G16">
        <v>16</v>
      </c>
      <c r="H16">
        <v>1.82</v>
      </c>
      <c r="I16">
        <v>0</v>
      </c>
      <c r="J16">
        <v>19.399999999999999</v>
      </c>
      <c r="K16">
        <v>1.9</v>
      </c>
      <c r="L16">
        <v>0</v>
      </c>
      <c r="M16">
        <v>0</v>
      </c>
    </row>
    <row r="17" spans="3:18" x14ac:dyDescent="0.25">
      <c r="C17">
        <v>1075</v>
      </c>
      <c r="D17">
        <v>1</v>
      </c>
      <c r="E17">
        <v>1</v>
      </c>
      <c r="F17">
        <v>11.93</v>
      </c>
      <c r="G17">
        <v>23</v>
      </c>
      <c r="H17">
        <v>1.85</v>
      </c>
      <c r="I17">
        <v>0</v>
      </c>
      <c r="J17">
        <v>17.5</v>
      </c>
      <c r="K17">
        <v>5.9</v>
      </c>
      <c r="L17">
        <v>0</v>
      </c>
      <c r="M17">
        <v>0</v>
      </c>
    </row>
    <row r="18" spans="3:18" x14ac:dyDescent="0.25">
      <c r="C18">
        <v>1266</v>
      </c>
      <c r="D18">
        <v>1</v>
      </c>
      <c r="E18">
        <v>1</v>
      </c>
      <c r="F18">
        <v>11.93</v>
      </c>
      <c r="G18">
        <v>16</v>
      </c>
      <c r="H18">
        <v>1.56</v>
      </c>
      <c r="I18">
        <v>0</v>
      </c>
      <c r="J18">
        <v>28.3</v>
      </c>
      <c r="K18">
        <v>2.1</v>
      </c>
      <c r="L18">
        <v>0</v>
      </c>
      <c r="M18">
        <v>0</v>
      </c>
    </row>
    <row r="19" spans="3:18" x14ac:dyDescent="0.25">
      <c r="C19">
        <v>1296</v>
      </c>
      <c r="D19">
        <v>1</v>
      </c>
      <c r="E19">
        <v>0</v>
      </c>
      <c r="F19">
        <v>6.79</v>
      </c>
      <c r="G19">
        <v>17</v>
      </c>
      <c r="H19">
        <v>0.45</v>
      </c>
      <c r="I19">
        <v>0</v>
      </c>
      <c r="J19">
        <v>0</v>
      </c>
      <c r="K19">
        <v>0</v>
      </c>
      <c r="L19">
        <v>0</v>
      </c>
      <c r="M19">
        <v>1</v>
      </c>
      <c r="P19" t="s">
        <v>12</v>
      </c>
      <c r="Q19" t="s">
        <v>13</v>
      </c>
      <c r="R19" t="s">
        <v>11</v>
      </c>
    </row>
    <row r="20" spans="3:18" x14ac:dyDescent="0.25">
      <c r="C20">
        <v>1492</v>
      </c>
      <c r="D20">
        <v>1</v>
      </c>
      <c r="E20">
        <v>1</v>
      </c>
      <c r="F20">
        <v>11.93</v>
      </c>
      <c r="G20">
        <v>20</v>
      </c>
      <c r="H20">
        <v>1.8</v>
      </c>
      <c r="I20">
        <v>1</v>
      </c>
      <c r="J20">
        <v>62.6</v>
      </c>
      <c r="K20">
        <v>5.2</v>
      </c>
      <c r="L20">
        <v>0</v>
      </c>
      <c r="M20">
        <v>0</v>
      </c>
      <c r="P20">
        <v>21.72</v>
      </c>
      <c r="Q20">
        <v>25</v>
      </c>
      <c r="R20">
        <v>10</v>
      </c>
    </row>
    <row r="21" spans="3:18" x14ac:dyDescent="0.25">
      <c r="C21">
        <v>1517</v>
      </c>
      <c r="D21">
        <v>1</v>
      </c>
      <c r="E21">
        <v>0</v>
      </c>
      <c r="F21">
        <v>11.93</v>
      </c>
      <c r="G21">
        <v>37</v>
      </c>
      <c r="H21">
        <v>0.44</v>
      </c>
      <c r="I21">
        <v>0</v>
      </c>
      <c r="J21">
        <v>26.5</v>
      </c>
      <c r="K21">
        <v>2.2000000000000002</v>
      </c>
      <c r="L21">
        <v>0</v>
      </c>
      <c r="M21">
        <v>0</v>
      </c>
    </row>
    <row r="22" spans="3:18" x14ac:dyDescent="0.25">
      <c r="C22">
        <v>1522</v>
      </c>
      <c r="D22">
        <v>1</v>
      </c>
      <c r="E22">
        <v>1</v>
      </c>
      <c r="F22">
        <v>11.93</v>
      </c>
      <c r="G22">
        <v>10</v>
      </c>
      <c r="H22">
        <v>1.21</v>
      </c>
      <c r="I22">
        <v>0</v>
      </c>
      <c r="J22">
        <v>10.1</v>
      </c>
      <c r="K22">
        <v>0.3</v>
      </c>
      <c r="L22">
        <v>0</v>
      </c>
      <c r="M22">
        <v>0</v>
      </c>
    </row>
    <row r="23" spans="3:18" x14ac:dyDescent="0.25">
      <c r="C23">
        <v>1662</v>
      </c>
      <c r="D23">
        <v>1</v>
      </c>
      <c r="E23">
        <v>1</v>
      </c>
      <c r="F23">
        <v>11.93</v>
      </c>
      <c r="G23">
        <v>21</v>
      </c>
      <c r="H23">
        <v>0.21</v>
      </c>
      <c r="I23">
        <v>0</v>
      </c>
      <c r="J23">
        <v>48.2</v>
      </c>
      <c r="K23">
        <v>2.9</v>
      </c>
      <c r="L23">
        <v>0</v>
      </c>
      <c r="M23">
        <v>0</v>
      </c>
    </row>
    <row r="24" spans="3:18" x14ac:dyDescent="0.25">
      <c r="C24">
        <v>1744</v>
      </c>
      <c r="D24">
        <v>1</v>
      </c>
      <c r="E24">
        <v>1</v>
      </c>
      <c r="F24">
        <v>8.19</v>
      </c>
      <c r="G24">
        <v>14</v>
      </c>
      <c r="H24">
        <v>0</v>
      </c>
      <c r="I24">
        <v>4</v>
      </c>
      <c r="J24">
        <v>11.5</v>
      </c>
      <c r="K24">
        <v>2</v>
      </c>
      <c r="L24">
        <v>0</v>
      </c>
      <c r="M24">
        <v>1</v>
      </c>
    </row>
    <row r="25" spans="3:18" x14ac:dyDescent="0.25">
      <c r="C25">
        <v>1783</v>
      </c>
      <c r="D25">
        <v>0</v>
      </c>
      <c r="E25">
        <v>0</v>
      </c>
      <c r="F25">
        <v>11.93</v>
      </c>
      <c r="G25">
        <v>69</v>
      </c>
      <c r="H25">
        <v>0.52</v>
      </c>
      <c r="I25">
        <v>1</v>
      </c>
      <c r="J25">
        <v>584.6</v>
      </c>
      <c r="K25">
        <v>21.3</v>
      </c>
      <c r="L25">
        <v>0</v>
      </c>
      <c r="M25">
        <v>0</v>
      </c>
    </row>
    <row r="26" spans="3:18" x14ac:dyDescent="0.25">
      <c r="C26">
        <v>1810</v>
      </c>
      <c r="D26">
        <v>1</v>
      </c>
      <c r="E26">
        <v>1</v>
      </c>
      <c r="F26">
        <v>11.93</v>
      </c>
      <c r="G26">
        <v>40</v>
      </c>
      <c r="H26">
        <v>1.1000000000000001</v>
      </c>
      <c r="I26">
        <v>0</v>
      </c>
      <c r="J26">
        <v>446.2</v>
      </c>
      <c r="K26">
        <v>8.9</v>
      </c>
      <c r="L26">
        <v>0</v>
      </c>
      <c r="M26">
        <v>0</v>
      </c>
    </row>
    <row r="27" spans="3:18" x14ac:dyDescent="0.25">
      <c r="C27">
        <v>1893</v>
      </c>
      <c r="D27">
        <v>1</v>
      </c>
      <c r="E27">
        <v>1</v>
      </c>
      <c r="F27">
        <v>8.3800000000000008</v>
      </c>
      <c r="G27">
        <v>46</v>
      </c>
      <c r="H27">
        <v>0</v>
      </c>
      <c r="I27">
        <v>0</v>
      </c>
      <c r="J27">
        <v>10.8</v>
      </c>
      <c r="K27">
        <v>0.9</v>
      </c>
      <c r="L27">
        <v>0</v>
      </c>
      <c r="M27">
        <v>1</v>
      </c>
    </row>
    <row r="28" spans="3:18" x14ac:dyDescent="0.25">
      <c r="C28">
        <v>1901</v>
      </c>
      <c r="D28">
        <v>0</v>
      </c>
      <c r="E28">
        <v>0</v>
      </c>
      <c r="F28">
        <v>8.25</v>
      </c>
      <c r="G28">
        <v>50</v>
      </c>
      <c r="H28">
        <v>0</v>
      </c>
      <c r="I28">
        <v>1</v>
      </c>
      <c r="J28">
        <v>95.1</v>
      </c>
      <c r="K28">
        <v>7</v>
      </c>
      <c r="L28">
        <v>0</v>
      </c>
      <c r="M28">
        <v>1</v>
      </c>
    </row>
    <row r="29" spans="3:18" x14ac:dyDescent="0.25">
      <c r="C29">
        <v>1917</v>
      </c>
      <c r="D29">
        <v>1</v>
      </c>
      <c r="E29">
        <v>1</v>
      </c>
      <c r="F29">
        <v>11.93</v>
      </c>
      <c r="G29">
        <v>10</v>
      </c>
      <c r="H29">
        <v>1.2</v>
      </c>
      <c r="I29">
        <v>0</v>
      </c>
      <c r="J29">
        <v>26.7</v>
      </c>
      <c r="K29">
        <v>2.6</v>
      </c>
      <c r="L29">
        <v>0</v>
      </c>
      <c r="M29">
        <v>0</v>
      </c>
    </row>
    <row r="30" spans="3:18" x14ac:dyDescent="0.25">
      <c r="C30">
        <v>1950</v>
      </c>
      <c r="D30">
        <v>1</v>
      </c>
      <c r="E30">
        <v>1</v>
      </c>
      <c r="F30">
        <v>11.93</v>
      </c>
      <c r="G30">
        <v>15</v>
      </c>
      <c r="H30">
        <v>1.66</v>
      </c>
      <c r="I30">
        <v>0</v>
      </c>
      <c r="J30">
        <v>2.8</v>
      </c>
      <c r="K30">
        <v>0.2</v>
      </c>
      <c r="L30">
        <v>0</v>
      </c>
      <c r="M30">
        <v>0</v>
      </c>
    </row>
    <row r="31" spans="3:18" x14ac:dyDescent="0.25">
      <c r="C31">
        <v>1975</v>
      </c>
      <c r="D31">
        <v>1</v>
      </c>
      <c r="E31">
        <v>0</v>
      </c>
      <c r="F31">
        <v>11.93</v>
      </c>
      <c r="G31">
        <v>30</v>
      </c>
      <c r="H31">
        <v>0.97</v>
      </c>
      <c r="I31">
        <v>0</v>
      </c>
      <c r="J31">
        <v>168.6</v>
      </c>
      <c r="K31">
        <v>15.6</v>
      </c>
      <c r="L31">
        <v>0</v>
      </c>
      <c r="M31">
        <v>0</v>
      </c>
    </row>
    <row r="32" spans="3:18" x14ac:dyDescent="0.25">
      <c r="C32">
        <v>2334</v>
      </c>
      <c r="D32">
        <v>1</v>
      </c>
      <c r="E32">
        <v>0</v>
      </c>
      <c r="F32">
        <v>10.55</v>
      </c>
      <c r="G32">
        <v>22</v>
      </c>
      <c r="H32">
        <v>0</v>
      </c>
      <c r="I32">
        <v>0</v>
      </c>
      <c r="J32">
        <v>5</v>
      </c>
      <c r="K32">
        <v>0.4</v>
      </c>
      <c r="L32">
        <v>0</v>
      </c>
      <c r="M32">
        <v>1</v>
      </c>
    </row>
    <row r="36" spans="9:11" x14ac:dyDescent="0.25">
      <c r="I36">
        <v>0</v>
      </c>
      <c r="J36">
        <v>10</v>
      </c>
    </row>
    <row r="37" spans="9:11" x14ac:dyDescent="0.25">
      <c r="I37">
        <v>10</v>
      </c>
      <c r="J37">
        <v>20</v>
      </c>
    </row>
    <row r="38" spans="9:11" x14ac:dyDescent="0.25">
      <c r="I38">
        <v>20</v>
      </c>
      <c r="J38">
        <v>30</v>
      </c>
    </row>
    <row r="39" spans="9:11" x14ac:dyDescent="0.25">
      <c r="I39">
        <v>30</v>
      </c>
      <c r="J39">
        <v>40</v>
      </c>
    </row>
    <row r="40" spans="9:11" x14ac:dyDescent="0.25">
      <c r="I40">
        <v>40</v>
      </c>
      <c r="J40">
        <v>50</v>
      </c>
    </row>
    <row r="41" spans="9:11" x14ac:dyDescent="0.25">
      <c r="K41" t="str">
        <f>I36&amp;"-"&amp;J36</f>
        <v>0-10</v>
      </c>
    </row>
    <row r="42" spans="9:11" x14ac:dyDescent="0.25">
      <c r="K42" t="str">
        <f t="shared" ref="K42:K45" si="0">I37&amp;"-"&amp;J37</f>
        <v>10-20</v>
      </c>
    </row>
    <row r="43" spans="9:11" x14ac:dyDescent="0.25">
      <c r="K43" t="str">
        <f t="shared" si="0"/>
        <v>20-30</v>
      </c>
    </row>
    <row r="44" spans="9:11" x14ac:dyDescent="0.25">
      <c r="K44" t="str">
        <f t="shared" si="0"/>
        <v>30-40</v>
      </c>
    </row>
    <row r="45" spans="9:11" x14ac:dyDescent="0.25">
      <c r="K45" t="str">
        <f t="shared" si="0"/>
        <v>40-50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2026-06-04T11:29:43Z</dcterms:modified>
</cp:coreProperties>
</file>